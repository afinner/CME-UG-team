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ules" sheetId="1" state="visible" r:id="rId3"/>
    <sheet name="CMES4 v2 ticket" sheetId="2" state="visible" r:id="rId4"/>
    <sheet name="Sizing t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ES, MES, NQ or MNQ. Point value, tick and margin come from the table on the right.</t>
        </r>
      </text>
    </comment>
    <comment ref="C6" authorId="0">
      <text>
        <r>
          <rPr>
            <sz val="10"/>
            <rFont val="Arial"/>
            <family val="2"/>
          </rPr>
          <t xml:space="preserve">Long after three rising 15-min bars, Short after three falling ones.</t>
        </r>
      </text>
    </comment>
    <comment ref="C8" authorId="0">
      <text>
        <r>
          <rPr>
            <sz val="10"/>
            <rFont val="Arial"/>
            <family val="2"/>
          </rPr>
          <t xml:space="preserve">Close time of the confirming 5-min bar.</t>
        </r>
      </text>
    </comment>
    <comment ref="C9" authorId="0">
      <text>
        <r>
          <rPr>
            <sz val="10"/>
            <rFont val="Arial"/>
            <family val="2"/>
          </rPr>
          <t xml:space="preserve">Net liquidation value in CQG, today.</t>
        </r>
      </text>
    </comment>
    <comment ref="C10" authorId="0">
      <text>
        <r>
          <rPr>
            <sz val="10"/>
            <rFont val="Arial"/>
            <family val="2"/>
          </rPr>
          <t xml:space="preserve">0.5% to start. Raise to 1% only after the backtest go/no-go passes.</t>
        </r>
      </text>
    </comment>
    <comment ref="C11" authorId="0">
      <text>
        <r>
          <rPr>
            <sz val="10"/>
            <rFont val="Arial"/>
            <family val="2"/>
          </rPr>
          <t xml:space="preserve">Max 3 CMES4 trades a day.</t>
        </r>
      </text>
    </comment>
    <comment ref="C12" authorId="0">
      <text>
        <r>
          <rPr>
            <sz val="10"/>
            <rFont val="Arial"/>
            <family val="2"/>
          </rPr>
          <t xml:space="preserve">Stop for the day after 2 losers.</t>
        </r>
      </text>
    </comment>
    <comment ref="C13" authorId="0">
      <text>
        <r>
          <rPr>
            <sz val="10"/>
            <rFont val="Arial"/>
            <family val="2"/>
          </rPr>
          <t xml:space="preserve">Yes blocks the trade (US data at 15:00 Dublin, FOMC 18:00 on 28 Oct, EIA 15:30 Wednesdays).</t>
        </r>
      </text>
    </comment>
    <comment ref="G11" authorId="0">
      <text>
        <r>
          <rPr>
            <sz val="10"/>
            <rFont val="Arial"/>
            <family val="2"/>
          </rPr>
          <t xml:space="preserve">Challenge commission: $2.50 per contract per side (Trading Book Settings).</t>
        </r>
      </text>
    </comment>
    <comment ref="I6" authorId="0">
      <text>
        <r>
          <rPr>
            <sz val="10"/>
            <rFont val="Arial"/>
            <family val="2"/>
          </rPr>
          <t xml:space="preserve">Initial margin per ES contract, TradeZero support page dated 16 Sep 2026. Replace with the figure CQG shows for your account.</t>
        </r>
      </text>
    </comment>
    <comment ref="I8" authorId="0">
      <text>
        <r>
          <rPr>
            <sz val="10"/>
            <rFont val="Arial"/>
            <family val="2"/>
          </rPr>
          <t xml:space="preserve">Not verified. Enter the margin CQG charges; until then size is set by risk only.</t>
        </r>
      </text>
    </comment>
    <comment ref="J8" authorId="0">
      <text>
        <r>
          <rPr>
            <sz val="10"/>
            <rFont val="Arial"/>
            <family val="2"/>
          </rPr>
          <t xml:space="preserve">NQ moves roughly 4x as many points as ES; the band is scaled from ES. Adjust after a backtest.</t>
        </r>
      </text>
    </comment>
  </commentList>
</comments>
</file>

<file path=xl/sharedStrings.xml><?xml version="1.0" encoding="utf-8"?>
<sst xmlns="http://schemas.openxmlformats.org/spreadsheetml/2006/main" count="132" uniqueCount="125">
  <si>
    <t xml:space="preserve">CMES4 v2 rules</t>
  </si>
  <si>
    <t xml:space="preserve">COLOURS</t>
  </si>
  <si>
    <t xml:space="preserve">Yellow cells</t>
  </si>
  <si>
    <t xml:space="preserve">You type here.</t>
  </si>
  <si>
    <t xml:space="preserve">Grey cells</t>
  </si>
  <si>
    <t xml:space="preserve">Formulas. Don't type over them.</t>
  </si>
  <si>
    <t xml:space="preserve">Example</t>
  </si>
  <si>
    <t xml:space="preserve">The ticket opens with a worked example (a long on 12 Oct). Overwrite the yellow cells.</t>
  </si>
  <si>
    <t xml:space="preserve">RULES</t>
  </si>
  <si>
    <t xml:space="preserve">1. Windows</t>
  </si>
  <si>
    <t xml:space="preserve">New setups only 09:45-11:30 and 14:00-15:30 New York time (Dublin: see the ticket tab). Flat by 15:55 New York.</t>
  </si>
  <si>
    <t xml:space="preserve">2. Trend</t>
  </si>
  <si>
    <t xml:space="preserve">The last three completed 15-min bars each made a higher high AND a higher low than the bar before (long). Lower highs and lower lows for a short. One wording only: three bars, two comparisons.</t>
  </si>
  <si>
    <t xml:space="preserve">3. Pullback</t>
  </si>
  <si>
    <t xml:space="preserve">Within the next three 5-min bars, one bar's low goes below the previous bar's low (long) or its high above the previous bar's high (short). Equal does not count.</t>
  </si>
  <si>
    <t xml:space="preserve">4. Confirmation</t>
  </si>
  <si>
    <t xml:space="preserve">The very next 5-min bar closes above the pullback bar's close (long) or below it (short).</t>
  </si>
  <si>
    <t xml:space="preserve">5. Entry</t>
  </si>
  <si>
    <t xml:space="preserve">Stop order one tick beyond the confirming bar's high (long) or low (short). Cancel if not filled in 10 minutes.</t>
  </si>
  <si>
    <t xml:space="preserve">6. Stop-loss</t>
  </si>
  <si>
    <t xml:space="preserve">One tick beyond the pullback bar's low (long) or high (short). Skip the trade if that is under 2 or over 12 ES points from the entry.</t>
  </si>
  <si>
    <t xml:space="preserve">7. Exits</t>
  </si>
  <si>
    <t xml:space="preserve">Half the contracts at +2R with a limit order. When it fills, move the stop on the rest to the entry price, then after each 5-min bar raise it to one tick under the lowest low of the last three bars (long). If +2R is not reached within 60 minutes of the fill, exit everything at market.</t>
  </si>
  <si>
    <t xml:space="preserve">8. Size</t>
  </si>
  <si>
    <t xml:space="preserve">Risk 0.5% of the balance per trade, 1% after the backtest go/no-go passes. Never more contracts than the margin allows. Max 3 trades a day; stop after 2 losers.</t>
  </si>
  <si>
    <t xml:space="preserve">9. Log</t>
  </si>
  <si>
    <t xml:space="preserve">Every setup goes in Decisions, taken or not, with the bar times. Trades go in Trades with the ticket's numbers.</t>
  </si>
  <si>
    <t xml:space="preserve">WHY THESE CHANGES</t>
  </si>
  <si>
    <t xml:space="preserve">Small targets</t>
  </si>
  <si>
    <t xml:space="preserve">CMES4 v1's 2R target is about 8 ES points: at most 1.4% of the account per perfect trade, even at the margin limit.</t>
  </si>
  <si>
    <t xml:space="preserve">Costs</t>
  </si>
  <si>
    <t xml:space="preserve">With a 4-point stop, commission and two ticks of slippage cost about 0.12R a trade. v2's median stop is about 7 points, which roughly halves that.</t>
  </si>
  <si>
    <t xml:space="preserve">Lunch</t>
  </si>
  <si>
    <t xml:space="preserve">The 6 Oct checks were all 11:15-12:45 New York, the quietest part of the day.</t>
  </si>
  <si>
    <t xml:space="preserve">Ambiguity</t>
  </si>
  <si>
    <t xml:space="preserve">D001: the 3-bar and 4-bar wordings disagreed. v2 keeps one.</t>
  </si>
  <si>
    <t xml:space="preserve">Entry</t>
  </si>
  <si>
    <t xml:space="preserve">T003 was sold before the bounce and confirmation. A stop order placed from this ticket cannot jump the gun.</t>
  </si>
  <si>
    <t xml:space="preserve">CMES4 v2 order ticket</t>
  </si>
  <si>
    <t xml:space="preserve">Fill the yellow cells once the confirming 5-minute bar has closed. Grey cells are formulas. Place the order only if the verdict says GO.</t>
  </si>
  <si>
    <t xml:space="preserve">SETUP</t>
  </si>
  <si>
    <t xml:space="preserve">CONTRACTS (edit margin to match CQG)</t>
  </si>
  <si>
    <t xml:space="preserve">Contract</t>
  </si>
  <si>
    <t xml:space="preserve">ES</t>
  </si>
  <si>
    <t xml:space="preserve">$ per point</t>
  </si>
  <si>
    <t xml:space="preserve">Tick</t>
  </si>
  <si>
    <t xml:space="preserve">Margin ($)</t>
  </si>
  <si>
    <t xml:space="preserve">Min stop (pts)</t>
  </si>
  <si>
    <t xml:space="preserve">Max stop (pts)</t>
  </si>
  <si>
    <t xml:space="preserve">Direction</t>
  </si>
  <si>
    <t xml:space="preserve">Long</t>
  </si>
  <si>
    <t xml:space="preserve">Date</t>
  </si>
  <si>
    <t xml:space="preserve">MES</t>
  </si>
  <si>
    <t xml:space="preserve">Confirming bar closed at (Dublin time)</t>
  </si>
  <si>
    <t xml:space="preserve">NQ</t>
  </si>
  <si>
    <t xml:space="preserve">Account balance from CQG ($)</t>
  </si>
  <si>
    <t xml:space="preserve">MNQ</t>
  </si>
  <si>
    <t xml:space="preserve">Risk per trade (% of balance)</t>
  </si>
  <si>
    <t xml:space="preserve">Trades already taken today</t>
  </si>
  <si>
    <t xml:space="preserve">Commission per side ($)</t>
  </si>
  <si>
    <t xml:space="preserve">Losing trades today</t>
  </si>
  <si>
    <t xml:space="preserve">Scheduled news in the next 15 minutes?</t>
  </si>
  <si>
    <t xml:space="preserve">No</t>
  </si>
  <si>
    <t xml:space="preserve">TRADING WINDOWS (Dublin time)</t>
  </si>
  <si>
    <t xml:space="preserve">BARS (read off the 5-minute chart)</t>
  </si>
  <si>
    <t xml:space="preserve">Dates</t>
  </si>
  <si>
    <t xml:space="preserve">Morning</t>
  </si>
  <si>
    <t xml:space="preserve">Afternoon</t>
  </si>
  <si>
    <t xml:space="preserve">Flat by</t>
  </si>
  <si>
    <t xml:space="preserve">Clock</t>
  </si>
  <si>
    <t xml:space="preserve">Pullback bar high</t>
  </si>
  <si>
    <t xml:space="preserve">9-23 Oct</t>
  </si>
  <si>
    <t xml:space="preserve">14:45-16:30</t>
  </si>
  <si>
    <t xml:space="preserve">19:00-20:30</t>
  </si>
  <si>
    <t xml:space="preserve">20:55</t>
  </si>
  <si>
    <t xml:space="preserve">ET + 5h</t>
  </si>
  <si>
    <t xml:space="preserve">Pullback bar low</t>
  </si>
  <si>
    <t xml:space="preserve">26-30 Oct</t>
  </si>
  <si>
    <t xml:space="preserve">13:45-15:30</t>
  </si>
  <si>
    <t xml:space="preserve">18:00-19:30</t>
  </si>
  <si>
    <t xml:space="preserve">19:55</t>
  </si>
  <si>
    <t xml:space="preserve">ET + 4h</t>
  </si>
  <si>
    <t xml:space="preserve">Pullback bar close</t>
  </si>
  <si>
    <t xml:space="preserve">Wed 28 Oct</t>
  </si>
  <si>
    <t xml:space="preserve">none (FOMC 18:00)</t>
  </si>
  <si>
    <t xml:space="preserve">17:55</t>
  </si>
  <si>
    <t xml:space="preserve">Confirming bar high</t>
  </si>
  <si>
    <t xml:space="preserve">Fri 30 Oct</t>
  </si>
  <si>
    <t xml:space="preserve">none</t>
  </si>
  <si>
    <t xml:space="preserve">19:00 team cut-off</t>
  </si>
  <si>
    <t xml:space="preserve">Confirming bar low</t>
  </si>
  <si>
    <t xml:space="preserve">Confirming bar close</t>
  </si>
  <si>
    <t xml:space="preserve">Windows are 09:45-11:30 and 14:00-15:30 New York time. The check above allows the confirming bar to close up to 20 minutes after a window ends.</t>
  </si>
  <si>
    <t xml:space="preserve">ORDER (bracket: stop entry + stop-loss + half at +2R)</t>
  </si>
  <si>
    <t xml:space="preserve">Entry: stop order at</t>
  </si>
  <si>
    <t xml:space="preserve">Stop-loss at</t>
  </si>
  <si>
    <t xml:space="preserve">Risk per contract (points)</t>
  </si>
  <si>
    <t xml:space="preserve">Target for half the contracts (+2R) at</t>
  </si>
  <si>
    <t xml:space="preserve">Contracts by risk budget</t>
  </si>
  <si>
    <t xml:space="preserve">Contracts the margin allows</t>
  </si>
  <si>
    <t xml:space="preserve">CONTRACTS TO TRADE</t>
  </si>
  <si>
    <t xml:space="preserve">   of which: limit at +2R</t>
  </si>
  <si>
    <t xml:space="preserve">   of which: runner, trailed</t>
  </si>
  <si>
    <t xml:space="preserve">$ at risk if stopped (incl. commission)</t>
  </si>
  <si>
    <t xml:space="preserve">% of balance at risk</t>
  </si>
  <si>
    <t xml:space="preserve">Cancel the entry if not filled by (Dublin)</t>
  </si>
  <si>
    <t xml:space="preserve">Flat by (Dublin)</t>
  </si>
  <si>
    <t xml:space="preserve">CHECKS</t>
  </si>
  <si>
    <t xml:space="preserve">Confirming close beyond the pullback bar's close</t>
  </si>
  <si>
    <t xml:space="preserve">Prices make sense (stop below the entry for a long)</t>
  </si>
  <si>
    <t xml:space="preserve">Stop inside the band for this contract</t>
  </si>
  <si>
    <t xml:space="preserve">Inside a trading window (see table)</t>
  </si>
  <si>
    <t xml:space="preserve">Fewer than 3 trades and 2 losers today</t>
  </si>
  <si>
    <t xml:space="preserve">No scheduled news in the next 15 minutes</t>
  </si>
  <si>
    <t xml:space="preserve">At least 1 contract after sizing</t>
  </si>
  <si>
    <t xml:space="preserve">Also covers the 10-contract daily minimum?</t>
  </si>
  <si>
    <t xml:space="preserve">VERDICT</t>
  </si>
  <si>
    <t xml:space="preserve">ES contracts by stop distance</t>
  </si>
  <si>
    <t xml:space="preserve">Uses the balance and ES margin from the ticket tab. Commission is included in the risk per contract. The margin cap binds first for stops under about 7 points at 1% risk.</t>
  </si>
  <si>
    <t xml:space="preserve">Stop (ES pts)</t>
  </si>
  <si>
    <t xml:space="preserve">Risk per ES ($)</t>
  </si>
  <si>
    <t xml:space="preserve">ES at 0.5%</t>
  </si>
  <si>
    <t xml:space="preserve">$ at risk</t>
  </si>
  <si>
    <t xml:space="preserve">ES at 1% (capped)</t>
  </si>
  <si>
    <t xml:space="preserve">MES at 0.5%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</si>
</sst>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[RED]&quot;($&quot;#,##0\);\-"/>
    <numFmt numFmtId="166" formatCode="0.00"/>
    <numFmt numFmtId="167" formatCode="dd\ mmm\ yyyy"/>
    <numFmt numFmtId="168" formatCode="hh:mm"/>
    <numFmt numFmtId="169" formatCode="0.0%"/>
    <numFmt numFmtId="170" formatCode="0"/>
    <numFmt numFmtId="171" formatCode="\$#,##0.00"/>
    <numFmt numFmtId="172" formatCode="#,##0.00###"/>
    <numFmt numFmtId="173" formatCode="0.00%"/>
    <numFmt numFmtId="17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EEF1F5"/>
      </patternFill>
    </fill>
    <fill>
      <patternFill patternType="solid">
        <fgColor rgb="FFEEF1F5"/>
        <bgColor rgb="FFFFFFFF"/>
      </patternFill>
    </fill>
    <fill>
      <patternFill patternType="solid">
        <fgColor rgb="FF1F3A5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5631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8B1A1A"/>
      </font>
      <fill>
        <patternFill>
          <bgColor rgb="FFF4CC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EF1F5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8B1A1A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00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5" t="s">
        <v>4</v>
      </c>
      <c r="C5" s="4" t="s">
        <v>5</v>
      </c>
    </row>
    <row r="6" customFormat="false" ht="15" hidden="false" customHeight="false" outlineLevel="0" collapsed="false">
      <c r="B6" s="6" t="s">
        <v>6</v>
      </c>
      <c r="C6" s="4" t="s">
        <v>7</v>
      </c>
    </row>
    <row r="7" customFormat="false" ht="15" hidden="false" customHeight="false" outlineLevel="0" collapsed="false">
      <c r="B7" s="2" t="s">
        <v>8</v>
      </c>
    </row>
    <row r="8" customFormat="false" ht="15" hidden="false" customHeight="false" outlineLevel="0" collapsed="false">
      <c r="B8" s="6" t="s">
        <v>9</v>
      </c>
      <c r="C8" s="4" t="s">
        <v>10</v>
      </c>
    </row>
    <row r="9" customFormat="false" ht="23.85" hidden="false" customHeight="false" outlineLevel="0" collapsed="false">
      <c r="B9" s="6" t="s">
        <v>11</v>
      </c>
      <c r="C9" s="4" t="s">
        <v>12</v>
      </c>
    </row>
    <row r="10" customFormat="false" ht="23.85" hidden="false" customHeight="false" outlineLevel="0" collapsed="false">
      <c r="B10" s="6" t="s">
        <v>13</v>
      </c>
      <c r="C10" s="4" t="s">
        <v>14</v>
      </c>
    </row>
    <row r="11" customFormat="false" ht="15" hidden="false" customHeight="false" outlineLevel="0" collapsed="false">
      <c r="B11" s="6" t="s">
        <v>15</v>
      </c>
      <c r="C11" s="4" t="s">
        <v>16</v>
      </c>
    </row>
    <row r="12" customFormat="false" ht="15" hidden="false" customHeight="false" outlineLevel="0" collapsed="false">
      <c r="B12" s="6" t="s">
        <v>17</v>
      </c>
      <c r="C12" s="4" t="s">
        <v>18</v>
      </c>
    </row>
    <row r="13" customFormat="false" ht="23.85" hidden="false" customHeight="false" outlineLevel="0" collapsed="false">
      <c r="B13" s="6" t="s">
        <v>19</v>
      </c>
      <c r="C13" s="4" t="s">
        <v>20</v>
      </c>
    </row>
    <row r="14" customFormat="false" ht="35.05" hidden="false" customHeight="false" outlineLevel="0" collapsed="false">
      <c r="B14" s="6" t="s">
        <v>21</v>
      </c>
      <c r="C14" s="4" t="s">
        <v>22</v>
      </c>
    </row>
    <row r="15" customFormat="false" ht="23.85" hidden="false" customHeight="false" outlineLevel="0" collapsed="false">
      <c r="B15" s="6" t="s">
        <v>23</v>
      </c>
      <c r="C15" s="4" t="s">
        <v>24</v>
      </c>
    </row>
    <row r="16" customFormat="false" ht="15" hidden="false" customHeight="false" outlineLevel="0" collapsed="false">
      <c r="B16" s="6" t="s">
        <v>25</v>
      </c>
      <c r="C16" s="4" t="s">
        <v>26</v>
      </c>
    </row>
    <row r="17" customFormat="false" ht="15" hidden="false" customHeight="false" outlineLevel="0" collapsed="false">
      <c r="B17" s="2" t="s">
        <v>27</v>
      </c>
    </row>
    <row r="18" customFormat="false" ht="15" hidden="false" customHeight="false" outlineLevel="0" collapsed="false">
      <c r="B18" s="6" t="s">
        <v>28</v>
      </c>
      <c r="C18" s="4" t="s">
        <v>29</v>
      </c>
    </row>
    <row r="19" customFormat="false" ht="23.85" hidden="false" customHeight="false" outlineLevel="0" collapsed="false">
      <c r="B19" s="6" t="s">
        <v>30</v>
      </c>
      <c r="C19" s="4" t="s">
        <v>31</v>
      </c>
    </row>
    <row r="20" customFormat="false" ht="15" hidden="false" customHeight="false" outlineLevel="0" collapsed="false">
      <c r="B20" s="6" t="s">
        <v>32</v>
      </c>
      <c r="C20" s="4" t="s">
        <v>33</v>
      </c>
    </row>
    <row r="21" customFormat="false" ht="15" hidden="false" customHeight="false" outlineLevel="0" collapsed="false">
      <c r="B21" s="6" t="s">
        <v>34</v>
      </c>
      <c r="C21" s="4" t="s">
        <v>35</v>
      </c>
    </row>
    <row r="22" customFormat="false" ht="15" hidden="false" customHeight="false" outlineLevel="0" collapsed="false">
      <c r="B22" s="6" t="s">
        <v>36</v>
      </c>
      <c r="C22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5" min="4" style="0" width="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1" min="10" style="0" width="13"/>
  </cols>
  <sheetData>
    <row r="1" customFormat="false" ht="19.7" hidden="false" customHeight="false" outlineLevel="0" collapsed="false">
      <c r="B1" s="1" t="s">
        <v>38</v>
      </c>
    </row>
    <row r="2" customFormat="false" ht="27.75" hidden="false" customHeight="true" outlineLevel="0" collapsed="false">
      <c r="B2" s="7" t="s">
        <v>39</v>
      </c>
      <c r="C2" s="7"/>
      <c r="D2" s="7"/>
      <c r="E2" s="7"/>
      <c r="F2" s="7"/>
      <c r="G2" s="7"/>
      <c r="H2" s="7"/>
      <c r="I2" s="7"/>
      <c r="J2" s="7"/>
      <c r="K2" s="7"/>
    </row>
    <row r="4" customFormat="false" ht="15" hidden="false" customHeight="false" outlineLevel="0" collapsed="false">
      <c r="B4" s="8" t="s">
        <v>40</v>
      </c>
      <c r="C4" s="8"/>
      <c r="F4" s="9" t="s">
        <v>41</v>
      </c>
    </row>
    <row r="5" customFormat="false" ht="27.75" hidden="false" customHeight="true" outlineLevel="0" collapsed="false">
      <c r="B5" s="4" t="s">
        <v>42</v>
      </c>
      <c r="C5" s="10" t="s">
        <v>43</v>
      </c>
      <c r="F5" s="11" t="s">
        <v>42</v>
      </c>
      <c r="G5" s="11" t="s">
        <v>44</v>
      </c>
      <c r="H5" s="11" t="s">
        <v>45</v>
      </c>
      <c r="I5" s="11" t="s">
        <v>46</v>
      </c>
      <c r="J5" s="11" t="s">
        <v>47</v>
      </c>
      <c r="K5" s="11" t="s">
        <v>48</v>
      </c>
    </row>
    <row r="6" customFormat="false" ht="15" hidden="false" customHeight="false" outlineLevel="0" collapsed="false">
      <c r="B6" s="4" t="s">
        <v>49</v>
      </c>
      <c r="C6" s="10" t="s">
        <v>50</v>
      </c>
      <c r="F6" s="10" t="s">
        <v>43</v>
      </c>
      <c r="G6" s="12" t="n">
        <v>50</v>
      </c>
      <c r="H6" s="13" t="n">
        <v>0.25</v>
      </c>
      <c r="I6" s="12" t="n">
        <v>28600</v>
      </c>
      <c r="J6" s="10" t="n">
        <v>2</v>
      </c>
      <c r="K6" s="10" t="n">
        <v>12</v>
      </c>
    </row>
    <row r="7" customFormat="false" ht="15" hidden="false" customHeight="false" outlineLevel="0" collapsed="false">
      <c r="B7" s="4" t="s">
        <v>51</v>
      </c>
      <c r="C7" s="14" t="n">
        <v>46307</v>
      </c>
      <c r="F7" s="10" t="s">
        <v>52</v>
      </c>
      <c r="G7" s="12" t="n">
        <v>5</v>
      </c>
      <c r="H7" s="13" t="n">
        <v>0.25</v>
      </c>
      <c r="I7" s="12" t="n">
        <v>2860</v>
      </c>
      <c r="J7" s="10" t="n">
        <v>2</v>
      </c>
      <c r="K7" s="10" t="n">
        <v>12</v>
      </c>
    </row>
    <row r="8" customFormat="false" ht="15" hidden="false" customHeight="false" outlineLevel="0" collapsed="false">
      <c r="B8" s="4" t="s">
        <v>53</v>
      </c>
      <c r="C8" s="15" t="n">
        <v>0.638888888888889</v>
      </c>
      <c r="F8" s="10" t="s">
        <v>54</v>
      </c>
      <c r="G8" s="12" t="n">
        <v>20</v>
      </c>
      <c r="H8" s="13" t="n">
        <v>0.25</v>
      </c>
      <c r="I8" s="12"/>
      <c r="J8" s="10" t="n">
        <v>8</v>
      </c>
      <c r="K8" s="10" t="n">
        <v>48</v>
      </c>
    </row>
    <row r="9" customFormat="false" ht="15" hidden="false" customHeight="false" outlineLevel="0" collapsed="false">
      <c r="B9" s="4" t="s">
        <v>55</v>
      </c>
      <c r="C9" s="12" t="n">
        <v>1001395</v>
      </c>
      <c r="F9" s="10" t="s">
        <v>56</v>
      </c>
      <c r="G9" s="12" t="n">
        <v>2</v>
      </c>
      <c r="H9" s="13" t="n">
        <v>0.25</v>
      </c>
      <c r="I9" s="12"/>
      <c r="J9" s="10" t="n">
        <v>8</v>
      </c>
      <c r="K9" s="10" t="n">
        <v>48</v>
      </c>
    </row>
    <row r="10" customFormat="false" ht="15" hidden="false" customHeight="false" outlineLevel="0" collapsed="false">
      <c r="B10" s="4" t="s">
        <v>57</v>
      </c>
      <c r="C10" s="16" t="n">
        <v>0.005</v>
      </c>
    </row>
    <row r="11" customFormat="false" ht="23.85" hidden="false" customHeight="false" outlineLevel="0" collapsed="false">
      <c r="B11" s="4" t="s">
        <v>58</v>
      </c>
      <c r="C11" s="17" t="n">
        <v>0</v>
      </c>
      <c r="F11" s="4" t="s">
        <v>59</v>
      </c>
      <c r="G11" s="18" t="n">
        <v>2.5</v>
      </c>
    </row>
    <row r="12" customFormat="false" ht="15" hidden="false" customHeight="false" outlineLevel="0" collapsed="false">
      <c r="B12" s="4" t="s">
        <v>60</v>
      </c>
      <c r="C12" s="17" t="n">
        <v>0</v>
      </c>
    </row>
    <row r="13" customFormat="false" ht="15" hidden="false" customHeight="false" outlineLevel="0" collapsed="false">
      <c r="B13" s="4" t="s">
        <v>61</v>
      </c>
      <c r="C13" s="10" t="s">
        <v>62</v>
      </c>
    </row>
    <row r="14" customFormat="false" ht="15" hidden="false" customHeight="false" outlineLevel="0" collapsed="false">
      <c r="F14" s="9" t="s">
        <v>63</v>
      </c>
    </row>
    <row r="15" customFormat="false" ht="15" hidden="false" customHeight="false" outlineLevel="0" collapsed="false">
      <c r="B15" s="8" t="s">
        <v>64</v>
      </c>
      <c r="C15" s="8"/>
      <c r="F15" s="8" t="s">
        <v>65</v>
      </c>
      <c r="G15" s="8" t="s">
        <v>66</v>
      </c>
      <c r="H15" s="8" t="s">
        <v>67</v>
      </c>
      <c r="I15" s="8" t="s">
        <v>68</v>
      </c>
      <c r="J15" s="8" t="s">
        <v>69</v>
      </c>
    </row>
    <row r="16" customFormat="false" ht="15" hidden="false" customHeight="false" outlineLevel="0" collapsed="false">
      <c r="B16" s="4" t="s">
        <v>70</v>
      </c>
      <c r="C16" s="19" t="n">
        <v>7843</v>
      </c>
      <c r="F16" s="20" t="s">
        <v>71</v>
      </c>
      <c r="G16" s="20" t="s">
        <v>72</v>
      </c>
      <c r="H16" s="20" t="s">
        <v>73</v>
      </c>
      <c r="I16" s="20" t="s">
        <v>74</v>
      </c>
      <c r="J16" s="20" t="s">
        <v>75</v>
      </c>
    </row>
    <row r="17" customFormat="false" ht="15" hidden="false" customHeight="false" outlineLevel="0" collapsed="false">
      <c r="B17" s="4" t="s">
        <v>76</v>
      </c>
      <c r="C17" s="19" t="n">
        <v>7838</v>
      </c>
      <c r="F17" s="20" t="s">
        <v>77</v>
      </c>
      <c r="G17" s="20" t="s">
        <v>78</v>
      </c>
      <c r="H17" s="20" t="s">
        <v>79</v>
      </c>
      <c r="I17" s="20" t="s">
        <v>80</v>
      </c>
      <c r="J17" s="20" t="s">
        <v>81</v>
      </c>
    </row>
    <row r="18" customFormat="false" ht="15" hidden="false" customHeight="false" outlineLevel="0" collapsed="false">
      <c r="B18" s="4" t="s">
        <v>82</v>
      </c>
      <c r="C18" s="19" t="n">
        <v>7839.5</v>
      </c>
      <c r="F18" s="20" t="s">
        <v>83</v>
      </c>
      <c r="G18" s="20" t="s">
        <v>78</v>
      </c>
      <c r="H18" s="20" t="s">
        <v>84</v>
      </c>
      <c r="I18" s="20" t="s">
        <v>85</v>
      </c>
      <c r="J18" s="20" t="s">
        <v>81</v>
      </c>
    </row>
    <row r="19" customFormat="false" ht="15" hidden="false" customHeight="false" outlineLevel="0" collapsed="false">
      <c r="B19" s="4" t="s">
        <v>86</v>
      </c>
      <c r="C19" s="19" t="n">
        <v>7845.5</v>
      </c>
      <c r="F19" s="20" t="s">
        <v>87</v>
      </c>
      <c r="G19" s="20" t="s">
        <v>78</v>
      </c>
      <c r="H19" s="20" t="s">
        <v>88</v>
      </c>
      <c r="I19" s="20" t="s">
        <v>89</v>
      </c>
      <c r="J19" s="20" t="s">
        <v>81</v>
      </c>
    </row>
    <row r="20" customFormat="false" ht="15" hidden="false" customHeight="false" outlineLevel="0" collapsed="false">
      <c r="B20" s="4" t="s">
        <v>90</v>
      </c>
      <c r="C20" s="19" t="n">
        <v>7839.25</v>
      </c>
    </row>
    <row r="21" customFormat="false" ht="15" hidden="false" customHeight="true" outlineLevel="0" collapsed="false">
      <c r="B21" s="4" t="s">
        <v>91</v>
      </c>
      <c r="C21" s="19" t="n">
        <v>7844.75</v>
      </c>
      <c r="F21" s="7" t="s">
        <v>92</v>
      </c>
      <c r="G21" s="7"/>
      <c r="H21" s="7"/>
      <c r="I21" s="7"/>
      <c r="J21" s="7"/>
      <c r="K21" s="7"/>
    </row>
    <row r="22" customFormat="false" ht="15" hidden="false" customHeight="false" outlineLevel="0" collapsed="false">
      <c r="F22" s="7"/>
      <c r="G22" s="7"/>
      <c r="H22" s="7"/>
      <c r="I22" s="7"/>
      <c r="J22" s="7"/>
      <c r="K22" s="7"/>
    </row>
    <row r="23" customFormat="false" ht="15" hidden="false" customHeight="false" outlineLevel="0" collapsed="false">
      <c r="B23" s="8" t="s">
        <v>93</v>
      </c>
      <c r="C23" s="8"/>
      <c r="F23" s="7"/>
      <c r="G23" s="7"/>
      <c r="H23" s="7"/>
      <c r="I23" s="7"/>
      <c r="J23" s="7"/>
      <c r="K23" s="7"/>
    </row>
    <row r="24" customFormat="false" ht="15" hidden="false" customHeight="false" outlineLevel="0" collapsed="false">
      <c r="B24" s="21" t="s">
        <v>94</v>
      </c>
      <c r="C24" s="22" t="n">
        <f aca="false">IF($C$6="Long",$C$19+INDEX($H$6:$H$9,MATCH($C$5,$F$6:$F$9,0)),$C$20-INDEX($H$6:$H$9,MATCH($C$5,$F$6:$F$9,0)))</f>
        <v>7845.75</v>
      </c>
    </row>
    <row r="25" customFormat="false" ht="15" hidden="false" customHeight="false" outlineLevel="0" collapsed="false">
      <c r="B25" s="21" t="s">
        <v>95</v>
      </c>
      <c r="C25" s="22" t="n">
        <f aca="false">IF($C$6="Long",$C$17-INDEX($H$6:$H$9,MATCH($C$5,$F$6:$F$9,0)),$C$16+INDEX($H$6:$H$9,MATCH($C$5,$F$6:$F$9,0)))</f>
        <v>7837.75</v>
      </c>
    </row>
    <row r="26" customFormat="false" ht="15" hidden="false" customHeight="false" outlineLevel="0" collapsed="false">
      <c r="B26" s="4" t="s">
        <v>96</v>
      </c>
      <c r="C26" s="23" t="n">
        <f aca="false">ABS(C24-C25)</f>
        <v>8</v>
      </c>
    </row>
    <row r="27" customFormat="false" ht="15" hidden="false" customHeight="false" outlineLevel="0" collapsed="false">
      <c r="B27" s="21" t="s">
        <v>97</v>
      </c>
      <c r="C27" s="22" t="n">
        <f aca="false">IF($C$6="Long",C24+2*C26,C24-2*C26)</f>
        <v>7861.75</v>
      </c>
    </row>
    <row r="28" customFormat="false" ht="15" hidden="false" customHeight="false" outlineLevel="0" collapsed="false">
      <c r="B28" s="4" t="s">
        <v>98</v>
      </c>
      <c r="C28" s="24" t="n">
        <f aca="false">IFERROR(ROUNDDOWN($C$9*$C$10/(C26*INDEX($G$6:$G$9,MATCH($C$5,$F$6:$F$9,0))+2*$G$11),0),0)</f>
        <v>12</v>
      </c>
    </row>
    <row r="29" customFormat="false" ht="15" hidden="false" customHeight="false" outlineLevel="0" collapsed="false">
      <c r="B29" s="4" t="s">
        <v>99</v>
      </c>
      <c r="C29" s="24" t="n">
        <f aca="false">IFERROR(IF(INDEX($I$6:$I$9,MATCH($C$5,$F$6:$F$9,0))&gt;0,ROUNDDOWN($C$9/INDEX($I$6:$I$9,MATCH($C$5,$F$6:$F$9,0)),0),C28),0)</f>
        <v>35</v>
      </c>
    </row>
    <row r="30" customFormat="false" ht="15" hidden="false" customHeight="false" outlineLevel="0" collapsed="false">
      <c r="B30" s="21" t="s">
        <v>100</v>
      </c>
      <c r="C30" s="25" t="n">
        <f aca="false">MAX(0,MIN(C28,C29))</f>
        <v>12</v>
      </c>
    </row>
    <row r="31" customFormat="false" ht="15" hidden="false" customHeight="false" outlineLevel="0" collapsed="false">
      <c r="B31" s="4" t="s">
        <v>101</v>
      </c>
      <c r="C31" s="24" t="n">
        <f aca="false">ROUNDDOWN(C30/2,0)</f>
        <v>6</v>
      </c>
    </row>
    <row r="32" customFormat="false" ht="15" hidden="false" customHeight="false" outlineLevel="0" collapsed="false">
      <c r="B32" s="4" t="s">
        <v>102</v>
      </c>
      <c r="C32" s="24" t="n">
        <f aca="false">C30-C31</f>
        <v>6</v>
      </c>
    </row>
    <row r="33" customFormat="false" ht="15" hidden="false" customHeight="false" outlineLevel="0" collapsed="false">
      <c r="B33" s="4" t="s">
        <v>103</v>
      </c>
      <c r="C33" s="26" t="n">
        <f aca="false">C30*(C26*INDEX($G$6:$G$9,MATCH($C$5,$F$6:$F$9,0))+2*$G$11)</f>
        <v>4860</v>
      </c>
    </row>
    <row r="34" customFormat="false" ht="15" hidden="false" customHeight="false" outlineLevel="0" collapsed="false">
      <c r="B34" s="4" t="s">
        <v>104</v>
      </c>
      <c r="C34" s="27" t="n">
        <f aca="false">IFERROR(C33/$C$9,0)</f>
        <v>0.00485322974450641</v>
      </c>
    </row>
    <row r="35" customFormat="false" ht="15" hidden="false" customHeight="false" outlineLevel="0" collapsed="false">
      <c r="B35" s="4" t="s">
        <v>105</v>
      </c>
      <c r="C35" s="28" t="n">
        <f aca="false">$C$8+TIME(0,10,0)</f>
        <v>0.645833333333333</v>
      </c>
    </row>
    <row r="36" customFormat="false" ht="15" hidden="false" customHeight="false" outlineLevel="0" collapsed="false">
      <c r="B36" s="4" t="s">
        <v>106</v>
      </c>
      <c r="C36" s="28" t="n">
        <f aca="false">IF($C$7=DATE(2026,10,28),TIME(17,55,0),IF($C$7=DATE(2026,10,30),TIME(19,0,0),IF($C$7&gt;=DATE(2026,10,26),TIME(19,55,0),TIME(20,55,0))))</f>
        <v>0.871527777777778</v>
      </c>
    </row>
    <row r="38" customFormat="false" ht="15" hidden="false" customHeight="false" outlineLevel="0" collapsed="false">
      <c r="B38" s="8" t="s">
        <v>107</v>
      </c>
      <c r="C38" s="8"/>
    </row>
    <row r="39" customFormat="false" ht="15" hidden="false" customHeight="false" outlineLevel="0" collapsed="false">
      <c r="B39" s="4" t="s">
        <v>108</v>
      </c>
      <c r="C39" s="29" t="b">
        <f aca="false">IF($C$6="Long",$C$21&gt;$C$18,$C$21&lt;$C$18)</f>
        <v>1</v>
      </c>
    </row>
    <row r="40" customFormat="false" ht="15" hidden="false" customHeight="false" outlineLevel="0" collapsed="false">
      <c r="B40" s="4" t="s">
        <v>109</v>
      </c>
      <c r="C40" s="29" t="b">
        <f aca="false">IF($C$6="Long",C25&lt;C24,C25&gt;C24)</f>
        <v>1</v>
      </c>
    </row>
    <row r="41" customFormat="false" ht="15" hidden="false" customHeight="false" outlineLevel="0" collapsed="false">
      <c r="B41" s="4" t="s">
        <v>110</v>
      </c>
      <c r="C41" s="29" t="b">
        <f aca="false">AND(C26&gt;=INDEX($J$6:$J$9,MATCH($C$5,$F$6:$F$9,0)),C26&lt;=INDEX($K$6:$K$9,MATCH($C$5,$F$6:$F$9,0)))</f>
        <v>1</v>
      </c>
    </row>
    <row r="42" customFormat="false" ht="15" hidden="false" customHeight="false" outlineLevel="0" collapsed="false">
      <c r="B42" s="4" t="s">
        <v>111</v>
      </c>
      <c r="C42" s="29" t="b">
        <f aca="false">OR(AND($C$8&gt;=IF($C$7&lt;DATE(2026,10,26),TIME(14,50,0),TIME(13,50,0)),$C$8&lt;=IF($C$7&lt;DATE(2026,10,26),TIME(16,50,0),TIME(15,50,0))),AND($C$8&gt;=IF($C$7&lt;DATE(2026,10,26),TIME(19,5,0),TIME(18,5,0)),$C$8&lt;=IF($C$7&lt;DATE(2026,10,26),TIME(20,50,0),TIME(19,50,0)),$C$7&lt;&gt;DATE(2026,10,28),$C$7&lt;&gt;DATE(2026,10,30)))</f>
        <v>1</v>
      </c>
    </row>
    <row r="43" customFormat="false" ht="15" hidden="false" customHeight="false" outlineLevel="0" collapsed="false">
      <c r="B43" s="4" t="s">
        <v>112</v>
      </c>
      <c r="C43" s="29" t="b">
        <f aca="false">AND($C$11&lt;3,$C$12&lt;2)</f>
        <v>1</v>
      </c>
    </row>
    <row r="44" customFormat="false" ht="15" hidden="false" customHeight="false" outlineLevel="0" collapsed="false">
      <c r="B44" s="4" t="s">
        <v>113</v>
      </c>
      <c r="C44" s="29" t="b">
        <f aca="false">$C$13="No"</f>
        <v>1</v>
      </c>
    </row>
    <row r="45" customFormat="false" ht="15" hidden="false" customHeight="false" outlineLevel="0" collapsed="false">
      <c r="B45" s="4" t="s">
        <v>114</v>
      </c>
      <c r="C45" s="29" t="b">
        <f aca="false">C30&gt;=1</f>
        <v>1</v>
      </c>
    </row>
    <row r="46" customFormat="false" ht="15" hidden="false" customHeight="false" outlineLevel="0" collapsed="false">
      <c r="B46" s="4" t="s">
        <v>115</v>
      </c>
      <c r="C46" s="20" t="str">
        <f aca="false">IF(2*C30&gt;=10,"Yes","No - add a minimum round-trip")</f>
        <v>Yes</v>
      </c>
    </row>
    <row r="48" customFormat="false" ht="30" hidden="false" customHeight="true" outlineLevel="0" collapsed="false">
      <c r="B48" s="21" t="s">
        <v>116</v>
      </c>
      <c r="C48" s="30" t="str">
        <f aca="false">IF(NOT(C39),"NO TRADE: "&amp;"no confirming close",IF(NOT(C40),"NO TRADE: "&amp;"check the bar prices",IF(NOT(C41),"NO TRADE: "&amp;"stop outside the band",IF(NOT(C42),"NO TRADE: "&amp;"outside the windows",IF(NOT(C43),"NO TRADE: "&amp;"daily limit reached",IF(NOT(C44),"NO TRADE: "&amp;"news due",IF(NOT(C45),"NO TRADE: "&amp;"size rounds to zero","GO: place the bracket")))))))</f>
        <v>GO: place the bracket</v>
      </c>
    </row>
  </sheetData>
  <mergeCells count="2">
    <mergeCell ref="B2:K2"/>
    <mergeCell ref="F21:K23"/>
  </mergeCells>
  <conditionalFormatting sqref="C48">
    <cfRule type="expression" priority="2" aboveAverage="0" equalAverage="0" bottom="0" percent="0" rank="0" text="" dxfId="0">
      <formula>LEFT($C$48,2)="GO"</formula>
    </cfRule>
    <cfRule type="expression" priority="3" aboveAverage="0" equalAverage="0" bottom="0" percent="0" rank="0" text="" dxfId="1">
      <formula>LEFT($C$48,2)="NO"</formula>
    </cfRule>
  </conditionalFormatting>
  <conditionalFormatting sqref="C39:C45">
    <cfRule type="expression" priority="4" aboveAverage="0" equalAverage="0" bottom="0" percent="0" rank="0" text="" dxfId="2">
      <formula>C39=0</formula>
    </cfRule>
  </conditionalFormatting>
  <dataValidations count="3">
    <dataValidation allowBlank="false" errorStyle="stop" operator="between" showDropDown="false" showErrorMessage="false" showInputMessage="false" sqref="C5" type="list">
      <formula1>"ES,MES,NQ,MNQ"</formula1>
      <formula2>0</formula2>
    </dataValidation>
    <dataValidation allowBlank="false" errorStyle="stop" operator="between" showDropDown="false" showErrorMessage="false" showInputMessage="false" sqref="C6" type="list">
      <formula1>"Long,Short"</formula1>
      <formula2>0</formula2>
    </dataValidation>
    <dataValidation allowBlank="false" errorStyle="stop" operator="between" showDropDown="false" showErrorMessage="false" showInputMessage="false" sqref="C13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3"/>
  </cols>
  <sheetData>
    <row r="1" customFormat="false" ht="19.7" hidden="false" customHeight="false" outlineLevel="0" collapsed="false">
      <c r="B1" s="1" t="s">
        <v>117</v>
      </c>
    </row>
    <row r="2" customFormat="false" ht="30" hidden="false" customHeight="true" outlineLevel="0" collapsed="false">
      <c r="B2" s="7" t="s">
        <v>118</v>
      </c>
      <c r="C2" s="7"/>
      <c r="D2" s="7"/>
      <c r="E2" s="7"/>
      <c r="F2" s="7"/>
      <c r="G2" s="7"/>
      <c r="H2" s="7"/>
    </row>
    <row r="4" customFormat="false" ht="30" hidden="false" customHeight="true" outlineLevel="0" collapsed="false">
      <c r="B4" s="11" t="s">
        <v>119</v>
      </c>
      <c r="C4" s="11" t="s">
        <v>120</v>
      </c>
      <c r="D4" s="11" t="s">
        <v>121</v>
      </c>
      <c r="E4" s="11" t="s">
        <v>122</v>
      </c>
      <c r="F4" s="11" t="s">
        <v>123</v>
      </c>
      <c r="G4" s="11" t="s">
        <v>122</v>
      </c>
      <c r="H4" s="11" t="s">
        <v>124</v>
      </c>
    </row>
    <row r="5" customFormat="false" ht="15" hidden="false" customHeight="false" outlineLevel="0" collapsed="false">
      <c r="B5" s="13" t="n">
        <v>2</v>
      </c>
      <c r="C5" s="26" t="n">
        <f aca="false">B5*50+2*'CMES4 v2 ticket'!$G$11</f>
        <v>105</v>
      </c>
      <c r="D5" s="24" t="n">
        <f aca="false">MIN(ROUNDDOWN('CMES4 v2 ticket'!$C$9*0.005/C5,0),ROUNDDOWN('CMES4 v2 ticket'!$C$9/'CMES4 v2 ticket'!$I$6,0))</f>
        <v>35</v>
      </c>
      <c r="E5" s="26" t="n">
        <f aca="false">D5*C5</f>
        <v>3675</v>
      </c>
      <c r="F5" s="24" t="n">
        <f aca="false">MIN(ROUNDDOWN('CMES4 v2 ticket'!$C$9*0.01/C5,0),ROUNDDOWN('CMES4 v2 ticket'!$C$9/'CMES4 v2 ticket'!$I$6,0))</f>
        <v>35</v>
      </c>
      <c r="G5" s="26" t="n">
        <f aca="false">F5*C5</f>
        <v>3675</v>
      </c>
      <c r="H5" s="24" t="n">
        <f aca="false">MIN(ROUNDDOWN('CMES4 v2 ticket'!$C$9*0.005/(B5*5+2*'CMES4 v2 ticket'!$G$11),0),ROUNDDOWN('CMES4 v2 ticket'!$C$9/'CMES4 v2 ticket'!$I$7,0))</f>
        <v>333</v>
      </c>
    </row>
    <row r="6" customFormat="false" ht="15" hidden="false" customHeight="false" outlineLevel="0" collapsed="false">
      <c r="B6" s="13" t="n">
        <v>2.5</v>
      </c>
      <c r="C6" s="26" t="n">
        <f aca="false">B6*50+2*'CMES4 v2 ticket'!$G$11</f>
        <v>130</v>
      </c>
      <c r="D6" s="24" t="n">
        <f aca="false">MIN(ROUNDDOWN('CMES4 v2 ticket'!$C$9*0.005/C6,0),ROUNDDOWN('CMES4 v2 ticket'!$C$9/'CMES4 v2 ticket'!$I$6,0))</f>
        <v>35</v>
      </c>
      <c r="E6" s="26" t="n">
        <f aca="false">D6*C6</f>
        <v>4550</v>
      </c>
      <c r="F6" s="24" t="n">
        <f aca="false">MIN(ROUNDDOWN('CMES4 v2 ticket'!$C$9*0.01/C6,0),ROUNDDOWN('CMES4 v2 ticket'!$C$9/'CMES4 v2 ticket'!$I$6,0))</f>
        <v>35</v>
      </c>
      <c r="G6" s="26" t="n">
        <f aca="false">F6*C6</f>
        <v>4550</v>
      </c>
      <c r="H6" s="24" t="n">
        <f aca="false">MIN(ROUNDDOWN('CMES4 v2 ticket'!$C$9*0.005/(B6*5+2*'CMES4 v2 ticket'!$G$11),0),ROUNDDOWN('CMES4 v2 ticket'!$C$9/'CMES4 v2 ticket'!$I$7,0))</f>
        <v>286</v>
      </c>
    </row>
    <row r="7" customFormat="false" ht="15" hidden="false" customHeight="false" outlineLevel="0" collapsed="false">
      <c r="B7" s="13" t="n">
        <v>3</v>
      </c>
      <c r="C7" s="26" t="n">
        <f aca="false">B7*50+2*'CMES4 v2 ticket'!$G$11</f>
        <v>155</v>
      </c>
      <c r="D7" s="24" t="n">
        <f aca="false">MIN(ROUNDDOWN('CMES4 v2 ticket'!$C$9*0.005/C7,0),ROUNDDOWN('CMES4 v2 ticket'!$C$9/'CMES4 v2 ticket'!$I$6,0))</f>
        <v>32</v>
      </c>
      <c r="E7" s="26" t="n">
        <f aca="false">D7*C7</f>
        <v>4960</v>
      </c>
      <c r="F7" s="24" t="n">
        <f aca="false">MIN(ROUNDDOWN('CMES4 v2 ticket'!$C$9*0.01/C7,0),ROUNDDOWN('CMES4 v2 ticket'!$C$9/'CMES4 v2 ticket'!$I$6,0))</f>
        <v>35</v>
      </c>
      <c r="G7" s="26" t="n">
        <f aca="false">F7*C7</f>
        <v>5425</v>
      </c>
      <c r="H7" s="24" t="n">
        <f aca="false">MIN(ROUNDDOWN('CMES4 v2 ticket'!$C$9*0.005/(B7*5+2*'CMES4 v2 ticket'!$G$11),0),ROUNDDOWN('CMES4 v2 ticket'!$C$9/'CMES4 v2 ticket'!$I$7,0))</f>
        <v>250</v>
      </c>
    </row>
    <row r="8" customFormat="false" ht="15" hidden="false" customHeight="false" outlineLevel="0" collapsed="false">
      <c r="B8" s="13" t="n">
        <v>3.5</v>
      </c>
      <c r="C8" s="26" t="n">
        <f aca="false">B8*50+2*'CMES4 v2 ticket'!$G$11</f>
        <v>180</v>
      </c>
      <c r="D8" s="24" t="n">
        <f aca="false">MIN(ROUNDDOWN('CMES4 v2 ticket'!$C$9*0.005/C8,0),ROUNDDOWN('CMES4 v2 ticket'!$C$9/'CMES4 v2 ticket'!$I$6,0))</f>
        <v>27</v>
      </c>
      <c r="E8" s="26" t="n">
        <f aca="false">D8*C8</f>
        <v>4860</v>
      </c>
      <c r="F8" s="24" t="n">
        <f aca="false">MIN(ROUNDDOWN('CMES4 v2 ticket'!$C$9*0.01/C8,0),ROUNDDOWN('CMES4 v2 ticket'!$C$9/'CMES4 v2 ticket'!$I$6,0))</f>
        <v>35</v>
      </c>
      <c r="G8" s="26" t="n">
        <f aca="false">F8*C8</f>
        <v>6300</v>
      </c>
      <c r="H8" s="24" t="n">
        <f aca="false">MIN(ROUNDDOWN('CMES4 v2 ticket'!$C$9*0.005/(B8*5+2*'CMES4 v2 ticket'!$G$11),0),ROUNDDOWN('CMES4 v2 ticket'!$C$9/'CMES4 v2 ticket'!$I$7,0))</f>
        <v>222</v>
      </c>
    </row>
    <row r="9" customFormat="false" ht="15" hidden="false" customHeight="false" outlineLevel="0" collapsed="false">
      <c r="B9" s="13" t="n">
        <v>4</v>
      </c>
      <c r="C9" s="26" t="n">
        <f aca="false">B9*50+2*'CMES4 v2 ticket'!$G$11</f>
        <v>205</v>
      </c>
      <c r="D9" s="24" t="n">
        <f aca="false">MIN(ROUNDDOWN('CMES4 v2 ticket'!$C$9*0.005/C9,0),ROUNDDOWN('CMES4 v2 ticket'!$C$9/'CMES4 v2 ticket'!$I$6,0))</f>
        <v>24</v>
      </c>
      <c r="E9" s="26" t="n">
        <f aca="false">D9*C9</f>
        <v>4920</v>
      </c>
      <c r="F9" s="24" t="n">
        <f aca="false">MIN(ROUNDDOWN('CMES4 v2 ticket'!$C$9*0.01/C9,0),ROUNDDOWN('CMES4 v2 ticket'!$C$9/'CMES4 v2 ticket'!$I$6,0))</f>
        <v>35</v>
      </c>
      <c r="G9" s="26" t="n">
        <f aca="false">F9*C9</f>
        <v>7175</v>
      </c>
      <c r="H9" s="24" t="n">
        <f aca="false">MIN(ROUNDDOWN('CMES4 v2 ticket'!$C$9*0.005/(B9*5+2*'CMES4 v2 ticket'!$G$11),0),ROUNDDOWN('CMES4 v2 ticket'!$C$9/'CMES4 v2 ticket'!$I$7,0))</f>
        <v>200</v>
      </c>
    </row>
    <row r="10" customFormat="false" ht="15" hidden="false" customHeight="false" outlineLevel="0" collapsed="false">
      <c r="B10" s="13" t="n">
        <v>4.5</v>
      </c>
      <c r="C10" s="26" t="n">
        <f aca="false">B10*50+2*'CMES4 v2 ticket'!$G$11</f>
        <v>230</v>
      </c>
      <c r="D10" s="24" t="n">
        <f aca="false">MIN(ROUNDDOWN('CMES4 v2 ticket'!$C$9*0.005/C10,0),ROUNDDOWN('CMES4 v2 ticket'!$C$9/'CMES4 v2 ticket'!$I$6,0))</f>
        <v>21</v>
      </c>
      <c r="E10" s="26" t="n">
        <f aca="false">D10*C10</f>
        <v>4830</v>
      </c>
      <c r="F10" s="24" t="n">
        <f aca="false">MIN(ROUNDDOWN('CMES4 v2 ticket'!$C$9*0.01/C10,0),ROUNDDOWN('CMES4 v2 ticket'!$C$9/'CMES4 v2 ticket'!$I$6,0))</f>
        <v>35</v>
      </c>
      <c r="G10" s="26" t="n">
        <f aca="false">F10*C10</f>
        <v>8050</v>
      </c>
      <c r="H10" s="24" t="n">
        <f aca="false">MIN(ROUNDDOWN('CMES4 v2 ticket'!$C$9*0.005/(B10*5+2*'CMES4 v2 ticket'!$G$11),0),ROUNDDOWN('CMES4 v2 ticket'!$C$9/'CMES4 v2 ticket'!$I$7,0))</f>
        <v>182</v>
      </c>
    </row>
    <row r="11" customFormat="false" ht="15" hidden="false" customHeight="false" outlineLevel="0" collapsed="false">
      <c r="B11" s="13" t="n">
        <v>5</v>
      </c>
      <c r="C11" s="26" t="n">
        <f aca="false">B11*50+2*'CMES4 v2 ticket'!$G$11</f>
        <v>255</v>
      </c>
      <c r="D11" s="24" t="n">
        <f aca="false">MIN(ROUNDDOWN('CMES4 v2 ticket'!$C$9*0.005/C11,0),ROUNDDOWN('CMES4 v2 ticket'!$C$9/'CMES4 v2 ticket'!$I$6,0))</f>
        <v>19</v>
      </c>
      <c r="E11" s="26" t="n">
        <f aca="false">D11*C11</f>
        <v>4845</v>
      </c>
      <c r="F11" s="24" t="n">
        <f aca="false">MIN(ROUNDDOWN('CMES4 v2 ticket'!$C$9*0.01/C11,0),ROUNDDOWN('CMES4 v2 ticket'!$C$9/'CMES4 v2 ticket'!$I$6,0))</f>
        <v>35</v>
      </c>
      <c r="G11" s="26" t="n">
        <f aca="false">F11*C11</f>
        <v>8925</v>
      </c>
      <c r="H11" s="24" t="n">
        <f aca="false">MIN(ROUNDDOWN('CMES4 v2 ticket'!$C$9*0.005/(B11*5+2*'CMES4 v2 ticket'!$G$11),0),ROUNDDOWN('CMES4 v2 ticket'!$C$9/'CMES4 v2 ticket'!$I$7,0))</f>
        <v>166</v>
      </c>
    </row>
    <row r="12" customFormat="false" ht="15" hidden="false" customHeight="false" outlineLevel="0" collapsed="false">
      <c r="B12" s="13" t="n">
        <v>5.5</v>
      </c>
      <c r="C12" s="26" t="n">
        <f aca="false">B12*50+2*'CMES4 v2 ticket'!$G$11</f>
        <v>280</v>
      </c>
      <c r="D12" s="24" t="n">
        <f aca="false">MIN(ROUNDDOWN('CMES4 v2 ticket'!$C$9*0.005/C12,0),ROUNDDOWN('CMES4 v2 ticket'!$C$9/'CMES4 v2 ticket'!$I$6,0))</f>
        <v>17</v>
      </c>
      <c r="E12" s="26" t="n">
        <f aca="false">D12*C12</f>
        <v>4760</v>
      </c>
      <c r="F12" s="24" t="n">
        <f aca="false">MIN(ROUNDDOWN('CMES4 v2 ticket'!$C$9*0.01/C12,0),ROUNDDOWN('CMES4 v2 ticket'!$C$9/'CMES4 v2 ticket'!$I$6,0))</f>
        <v>35</v>
      </c>
      <c r="G12" s="26" t="n">
        <f aca="false">F12*C12</f>
        <v>9800</v>
      </c>
      <c r="H12" s="24" t="n">
        <f aca="false">MIN(ROUNDDOWN('CMES4 v2 ticket'!$C$9*0.005/(B12*5+2*'CMES4 v2 ticket'!$G$11),0),ROUNDDOWN('CMES4 v2 ticket'!$C$9/'CMES4 v2 ticket'!$I$7,0))</f>
        <v>154</v>
      </c>
    </row>
    <row r="13" customFormat="false" ht="15" hidden="false" customHeight="false" outlineLevel="0" collapsed="false">
      <c r="B13" s="13" t="n">
        <v>6</v>
      </c>
      <c r="C13" s="26" t="n">
        <f aca="false">B13*50+2*'CMES4 v2 ticket'!$G$11</f>
        <v>305</v>
      </c>
      <c r="D13" s="24" t="n">
        <f aca="false">MIN(ROUNDDOWN('CMES4 v2 ticket'!$C$9*0.005/C13,0),ROUNDDOWN('CMES4 v2 ticket'!$C$9/'CMES4 v2 ticket'!$I$6,0))</f>
        <v>16</v>
      </c>
      <c r="E13" s="26" t="n">
        <f aca="false">D13*C13</f>
        <v>4880</v>
      </c>
      <c r="F13" s="24" t="n">
        <f aca="false">MIN(ROUNDDOWN('CMES4 v2 ticket'!$C$9*0.01/C13,0),ROUNDDOWN('CMES4 v2 ticket'!$C$9/'CMES4 v2 ticket'!$I$6,0))</f>
        <v>32</v>
      </c>
      <c r="G13" s="26" t="n">
        <f aca="false">F13*C13</f>
        <v>9760</v>
      </c>
      <c r="H13" s="24" t="n">
        <f aca="false">MIN(ROUNDDOWN('CMES4 v2 ticket'!$C$9*0.005/(B13*5+2*'CMES4 v2 ticket'!$G$11),0),ROUNDDOWN('CMES4 v2 ticket'!$C$9/'CMES4 v2 ticket'!$I$7,0))</f>
        <v>143</v>
      </c>
    </row>
    <row r="14" customFormat="false" ht="15" hidden="false" customHeight="false" outlineLevel="0" collapsed="false">
      <c r="B14" s="13" t="n">
        <v>6.5</v>
      </c>
      <c r="C14" s="26" t="n">
        <f aca="false">B14*50+2*'CMES4 v2 ticket'!$G$11</f>
        <v>330</v>
      </c>
      <c r="D14" s="24" t="n">
        <f aca="false">MIN(ROUNDDOWN('CMES4 v2 ticket'!$C$9*0.005/C14,0),ROUNDDOWN('CMES4 v2 ticket'!$C$9/'CMES4 v2 ticket'!$I$6,0))</f>
        <v>15</v>
      </c>
      <c r="E14" s="26" t="n">
        <f aca="false">D14*C14</f>
        <v>4950</v>
      </c>
      <c r="F14" s="24" t="n">
        <f aca="false">MIN(ROUNDDOWN('CMES4 v2 ticket'!$C$9*0.01/C14,0),ROUNDDOWN('CMES4 v2 ticket'!$C$9/'CMES4 v2 ticket'!$I$6,0))</f>
        <v>30</v>
      </c>
      <c r="G14" s="26" t="n">
        <f aca="false">F14*C14</f>
        <v>9900</v>
      </c>
      <c r="H14" s="24" t="n">
        <f aca="false">MIN(ROUNDDOWN('CMES4 v2 ticket'!$C$9*0.005/(B14*5+2*'CMES4 v2 ticket'!$G$11),0),ROUNDDOWN('CMES4 v2 ticket'!$C$9/'CMES4 v2 ticket'!$I$7,0))</f>
        <v>133</v>
      </c>
    </row>
    <row r="15" customFormat="false" ht="15" hidden="false" customHeight="false" outlineLevel="0" collapsed="false">
      <c r="B15" s="13" t="n">
        <v>7</v>
      </c>
      <c r="C15" s="26" t="n">
        <f aca="false">B15*50+2*'CMES4 v2 ticket'!$G$11</f>
        <v>355</v>
      </c>
      <c r="D15" s="24" t="n">
        <f aca="false">MIN(ROUNDDOWN('CMES4 v2 ticket'!$C$9*0.005/C15,0),ROUNDDOWN('CMES4 v2 ticket'!$C$9/'CMES4 v2 ticket'!$I$6,0))</f>
        <v>14</v>
      </c>
      <c r="E15" s="26" t="n">
        <f aca="false">D15*C15</f>
        <v>4970</v>
      </c>
      <c r="F15" s="24" t="n">
        <f aca="false">MIN(ROUNDDOWN('CMES4 v2 ticket'!$C$9*0.01/C15,0),ROUNDDOWN('CMES4 v2 ticket'!$C$9/'CMES4 v2 ticket'!$I$6,0))</f>
        <v>28</v>
      </c>
      <c r="G15" s="26" t="n">
        <f aca="false">F15*C15</f>
        <v>9940</v>
      </c>
      <c r="H15" s="24" t="n">
        <f aca="false">MIN(ROUNDDOWN('CMES4 v2 ticket'!$C$9*0.005/(B15*5+2*'CMES4 v2 ticket'!$G$11),0),ROUNDDOWN('CMES4 v2 ticket'!$C$9/'CMES4 v2 ticket'!$I$7,0))</f>
        <v>125</v>
      </c>
    </row>
    <row r="16" customFormat="false" ht="15" hidden="false" customHeight="false" outlineLevel="0" collapsed="false">
      <c r="B16" s="13" t="n">
        <v>7.5</v>
      </c>
      <c r="C16" s="26" t="n">
        <f aca="false">B16*50+2*'CMES4 v2 ticket'!$G$11</f>
        <v>380</v>
      </c>
      <c r="D16" s="24" t="n">
        <f aca="false">MIN(ROUNDDOWN('CMES4 v2 ticket'!$C$9*0.005/C16,0),ROUNDDOWN('CMES4 v2 ticket'!$C$9/'CMES4 v2 ticket'!$I$6,0))</f>
        <v>13</v>
      </c>
      <c r="E16" s="26" t="n">
        <f aca="false">D16*C16</f>
        <v>4940</v>
      </c>
      <c r="F16" s="24" t="n">
        <f aca="false">MIN(ROUNDDOWN('CMES4 v2 ticket'!$C$9*0.01/C16,0),ROUNDDOWN('CMES4 v2 ticket'!$C$9/'CMES4 v2 ticket'!$I$6,0))</f>
        <v>26</v>
      </c>
      <c r="G16" s="26" t="n">
        <f aca="false">F16*C16</f>
        <v>9880</v>
      </c>
      <c r="H16" s="24" t="n">
        <f aca="false">MIN(ROUNDDOWN('CMES4 v2 ticket'!$C$9*0.005/(B16*5+2*'CMES4 v2 ticket'!$G$11),0),ROUNDDOWN('CMES4 v2 ticket'!$C$9/'CMES4 v2 ticket'!$I$7,0))</f>
        <v>117</v>
      </c>
    </row>
    <row r="17" customFormat="false" ht="15" hidden="false" customHeight="false" outlineLevel="0" collapsed="false">
      <c r="B17" s="13" t="n">
        <v>8</v>
      </c>
      <c r="C17" s="26" t="n">
        <f aca="false">B17*50+2*'CMES4 v2 ticket'!$G$11</f>
        <v>405</v>
      </c>
      <c r="D17" s="24" t="n">
        <f aca="false">MIN(ROUNDDOWN('CMES4 v2 ticket'!$C$9*0.005/C17,0),ROUNDDOWN('CMES4 v2 ticket'!$C$9/'CMES4 v2 ticket'!$I$6,0))</f>
        <v>12</v>
      </c>
      <c r="E17" s="26" t="n">
        <f aca="false">D17*C17</f>
        <v>4860</v>
      </c>
      <c r="F17" s="24" t="n">
        <f aca="false">MIN(ROUNDDOWN('CMES4 v2 ticket'!$C$9*0.01/C17,0),ROUNDDOWN('CMES4 v2 ticket'!$C$9/'CMES4 v2 ticket'!$I$6,0))</f>
        <v>24</v>
      </c>
      <c r="G17" s="26" t="n">
        <f aca="false">F17*C17</f>
        <v>9720</v>
      </c>
      <c r="H17" s="24" t="n">
        <f aca="false">MIN(ROUNDDOWN('CMES4 v2 ticket'!$C$9*0.005/(B17*5+2*'CMES4 v2 ticket'!$G$11),0),ROUNDDOWN('CMES4 v2 ticket'!$C$9/'CMES4 v2 ticket'!$I$7,0))</f>
        <v>111</v>
      </c>
    </row>
    <row r="18" customFormat="false" ht="15" hidden="false" customHeight="false" outlineLevel="0" collapsed="false">
      <c r="B18" s="13" t="n">
        <v>8.5</v>
      </c>
      <c r="C18" s="26" t="n">
        <f aca="false">B18*50+2*'CMES4 v2 ticket'!$G$11</f>
        <v>430</v>
      </c>
      <c r="D18" s="24" t="n">
        <f aca="false">MIN(ROUNDDOWN('CMES4 v2 ticket'!$C$9*0.005/C18,0),ROUNDDOWN('CMES4 v2 ticket'!$C$9/'CMES4 v2 ticket'!$I$6,0))</f>
        <v>11</v>
      </c>
      <c r="E18" s="26" t="n">
        <f aca="false">D18*C18</f>
        <v>4730</v>
      </c>
      <c r="F18" s="24" t="n">
        <f aca="false">MIN(ROUNDDOWN('CMES4 v2 ticket'!$C$9*0.01/C18,0),ROUNDDOWN('CMES4 v2 ticket'!$C$9/'CMES4 v2 ticket'!$I$6,0))</f>
        <v>23</v>
      </c>
      <c r="G18" s="26" t="n">
        <f aca="false">F18*C18</f>
        <v>9890</v>
      </c>
      <c r="H18" s="24" t="n">
        <f aca="false">MIN(ROUNDDOWN('CMES4 v2 ticket'!$C$9*0.005/(B18*5+2*'CMES4 v2 ticket'!$G$11),0),ROUNDDOWN('CMES4 v2 ticket'!$C$9/'CMES4 v2 ticket'!$I$7,0))</f>
        <v>105</v>
      </c>
    </row>
    <row r="19" customFormat="false" ht="15" hidden="false" customHeight="false" outlineLevel="0" collapsed="false">
      <c r="B19" s="13" t="n">
        <v>9</v>
      </c>
      <c r="C19" s="26" t="n">
        <f aca="false">B19*50+2*'CMES4 v2 ticket'!$G$11</f>
        <v>455</v>
      </c>
      <c r="D19" s="24" t="n">
        <f aca="false">MIN(ROUNDDOWN('CMES4 v2 ticket'!$C$9*0.005/C19,0),ROUNDDOWN('CMES4 v2 ticket'!$C$9/'CMES4 v2 ticket'!$I$6,0))</f>
        <v>11</v>
      </c>
      <c r="E19" s="26" t="n">
        <f aca="false">D19*C19</f>
        <v>5005</v>
      </c>
      <c r="F19" s="24" t="n">
        <f aca="false">MIN(ROUNDDOWN('CMES4 v2 ticket'!$C$9*0.01/C19,0),ROUNDDOWN('CMES4 v2 ticket'!$C$9/'CMES4 v2 ticket'!$I$6,0))</f>
        <v>22</v>
      </c>
      <c r="G19" s="26" t="n">
        <f aca="false">F19*C19</f>
        <v>10010</v>
      </c>
      <c r="H19" s="24" t="n">
        <f aca="false">MIN(ROUNDDOWN('CMES4 v2 ticket'!$C$9*0.005/(B19*5+2*'CMES4 v2 ticket'!$G$11),0),ROUNDDOWN('CMES4 v2 ticket'!$C$9/'CMES4 v2 ticket'!$I$7,0))</f>
        <v>100</v>
      </c>
    </row>
    <row r="20" customFormat="false" ht="15" hidden="false" customHeight="false" outlineLevel="0" collapsed="false">
      <c r="B20" s="13" t="n">
        <v>9.5</v>
      </c>
      <c r="C20" s="26" t="n">
        <f aca="false">B20*50+2*'CMES4 v2 ticket'!$G$11</f>
        <v>480</v>
      </c>
      <c r="D20" s="24" t="n">
        <f aca="false">MIN(ROUNDDOWN('CMES4 v2 ticket'!$C$9*0.005/C20,0),ROUNDDOWN('CMES4 v2 ticket'!$C$9/'CMES4 v2 ticket'!$I$6,0))</f>
        <v>10</v>
      </c>
      <c r="E20" s="26" t="n">
        <f aca="false">D20*C20</f>
        <v>4800</v>
      </c>
      <c r="F20" s="24" t="n">
        <f aca="false">MIN(ROUNDDOWN('CMES4 v2 ticket'!$C$9*0.01/C20,0),ROUNDDOWN('CMES4 v2 ticket'!$C$9/'CMES4 v2 ticket'!$I$6,0))</f>
        <v>20</v>
      </c>
      <c r="G20" s="26" t="n">
        <f aca="false">F20*C20</f>
        <v>9600</v>
      </c>
      <c r="H20" s="24" t="n">
        <f aca="false">MIN(ROUNDDOWN('CMES4 v2 ticket'!$C$9*0.005/(B20*5+2*'CMES4 v2 ticket'!$G$11),0),ROUNDDOWN('CMES4 v2 ticket'!$C$9/'CMES4 v2 ticket'!$I$7,0))</f>
        <v>95</v>
      </c>
    </row>
    <row r="21" customFormat="false" ht="15" hidden="false" customHeight="false" outlineLevel="0" collapsed="false">
      <c r="B21" s="13" t="n">
        <v>10</v>
      </c>
      <c r="C21" s="26" t="n">
        <f aca="false">B21*50+2*'CMES4 v2 ticket'!$G$11</f>
        <v>505</v>
      </c>
      <c r="D21" s="24" t="n">
        <f aca="false">MIN(ROUNDDOWN('CMES4 v2 ticket'!$C$9*0.005/C21,0),ROUNDDOWN('CMES4 v2 ticket'!$C$9/'CMES4 v2 ticket'!$I$6,0))</f>
        <v>9</v>
      </c>
      <c r="E21" s="26" t="n">
        <f aca="false">D21*C21</f>
        <v>4545</v>
      </c>
      <c r="F21" s="24" t="n">
        <f aca="false">MIN(ROUNDDOWN('CMES4 v2 ticket'!$C$9*0.01/C21,0),ROUNDDOWN('CMES4 v2 ticket'!$C$9/'CMES4 v2 ticket'!$I$6,0))</f>
        <v>19</v>
      </c>
      <c r="G21" s="26" t="n">
        <f aca="false">F21*C21</f>
        <v>9595</v>
      </c>
      <c r="H21" s="24" t="n">
        <f aca="false">MIN(ROUNDDOWN('CMES4 v2 ticket'!$C$9*0.005/(B21*5+2*'CMES4 v2 ticket'!$G$11),0),ROUNDDOWN('CMES4 v2 ticket'!$C$9/'CMES4 v2 ticket'!$I$7,0))</f>
        <v>91</v>
      </c>
    </row>
    <row r="22" customFormat="false" ht="15" hidden="false" customHeight="false" outlineLevel="0" collapsed="false">
      <c r="B22" s="13" t="n">
        <v>10.5</v>
      </c>
      <c r="C22" s="26" t="n">
        <f aca="false">B22*50+2*'CMES4 v2 ticket'!$G$11</f>
        <v>530</v>
      </c>
      <c r="D22" s="24" t="n">
        <f aca="false">MIN(ROUNDDOWN('CMES4 v2 ticket'!$C$9*0.005/C22,0),ROUNDDOWN('CMES4 v2 ticket'!$C$9/'CMES4 v2 ticket'!$I$6,0))</f>
        <v>9</v>
      </c>
      <c r="E22" s="26" t="n">
        <f aca="false">D22*C22</f>
        <v>4770</v>
      </c>
      <c r="F22" s="24" t="n">
        <f aca="false">MIN(ROUNDDOWN('CMES4 v2 ticket'!$C$9*0.01/C22,0),ROUNDDOWN('CMES4 v2 ticket'!$C$9/'CMES4 v2 ticket'!$I$6,0))</f>
        <v>18</v>
      </c>
      <c r="G22" s="26" t="n">
        <f aca="false">F22*C22</f>
        <v>9540</v>
      </c>
      <c r="H22" s="24" t="n">
        <f aca="false">MIN(ROUNDDOWN('CMES4 v2 ticket'!$C$9*0.005/(B22*5+2*'CMES4 v2 ticket'!$G$11),0),ROUNDDOWN('CMES4 v2 ticket'!$C$9/'CMES4 v2 ticket'!$I$7,0))</f>
        <v>87</v>
      </c>
    </row>
    <row r="23" customFormat="false" ht="15" hidden="false" customHeight="false" outlineLevel="0" collapsed="false">
      <c r="B23" s="13" t="n">
        <v>11</v>
      </c>
      <c r="C23" s="26" t="n">
        <f aca="false">B23*50+2*'CMES4 v2 ticket'!$G$11</f>
        <v>555</v>
      </c>
      <c r="D23" s="24" t="n">
        <f aca="false">MIN(ROUNDDOWN('CMES4 v2 ticket'!$C$9*0.005/C23,0),ROUNDDOWN('CMES4 v2 ticket'!$C$9/'CMES4 v2 ticket'!$I$6,0))</f>
        <v>9</v>
      </c>
      <c r="E23" s="26" t="n">
        <f aca="false">D23*C23</f>
        <v>4995</v>
      </c>
      <c r="F23" s="24" t="n">
        <f aca="false">MIN(ROUNDDOWN('CMES4 v2 ticket'!$C$9*0.01/C23,0),ROUNDDOWN('CMES4 v2 ticket'!$C$9/'CMES4 v2 ticket'!$I$6,0))</f>
        <v>18</v>
      </c>
      <c r="G23" s="26" t="n">
        <f aca="false">F23*C23</f>
        <v>9990</v>
      </c>
      <c r="H23" s="24" t="n">
        <f aca="false">MIN(ROUNDDOWN('CMES4 v2 ticket'!$C$9*0.005/(B23*5+2*'CMES4 v2 ticket'!$G$11),0),ROUNDDOWN('CMES4 v2 ticket'!$C$9/'CMES4 v2 ticket'!$I$7,0))</f>
        <v>83</v>
      </c>
    </row>
    <row r="24" customFormat="false" ht="15" hidden="false" customHeight="false" outlineLevel="0" collapsed="false">
      <c r="B24" s="13" t="n">
        <v>11.5</v>
      </c>
      <c r="C24" s="26" t="n">
        <f aca="false">B24*50+2*'CMES4 v2 ticket'!$G$11</f>
        <v>580</v>
      </c>
      <c r="D24" s="24" t="n">
        <f aca="false">MIN(ROUNDDOWN('CMES4 v2 ticket'!$C$9*0.005/C24,0),ROUNDDOWN('CMES4 v2 ticket'!$C$9/'CMES4 v2 ticket'!$I$6,0))</f>
        <v>8</v>
      </c>
      <c r="E24" s="26" t="n">
        <f aca="false">D24*C24</f>
        <v>4640</v>
      </c>
      <c r="F24" s="24" t="n">
        <f aca="false">MIN(ROUNDDOWN('CMES4 v2 ticket'!$C$9*0.01/C24,0),ROUNDDOWN('CMES4 v2 ticket'!$C$9/'CMES4 v2 ticket'!$I$6,0))</f>
        <v>17</v>
      </c>
      <c r="G24" s="26" t="n">
        <f aca="false">F24*C24</f>
        <v>9860</v>
      </c>
      <c r="H24" s="24" t="n">
        <f aca="false">MIN(ROUNDDOWN('CMES4 v2 ticket'!$C$9*0.005/(B24*5+2*'CMES4 v2 ticket'!$G$11),0),ROUNDDOWN('CMES4 v2 ticket'!$C$9/'CMES4 v2 ticket'!$I$7,0))</f>
        <v>80</v>
      </c>
    </row>
    <row r="25" customFormat="false" ht="15" hidden="false" customHeight="false" outlineLevel="0" collapsed="false">
      <c r="B25" s="13" t="n">
        <v>12</v>
      </c>
      <c r="C25" s="26" t="n">
        <f aca="false">B25*50+2*'CMES4 v2 ticket'!$G$11</f>
        <v>605</v>
      </c>
      <c r="D25" s="24" t="n">
        <f aca="false">MIN(ROUNDDOWN('CMES4 v2 ticket'!$C$9*0.005/C25,0),ROUNDDOWN('CMES4 v2 ticket'!$C$9/'CMES4 v2 ticket'!$I$6,0))</f>
        <v>8</v>
      </c>
      <c r="E25" s="26" t="n">
        <f aca="false">D25*C25</f>
        <v>4840</v>
      </c>
      <c r="F25" s="24" t="n">
        <f aca="false">MIN(ROUNDDOWN('CMES4 v2 ticket'!$C$9*0.01/C25,0),ROUNDDOWN('CMES4 v2 ticket'!$C$9/'CMES4 v2 ticket'!$I$6,0))</f>
        <v>16</v>
      </c>
      <c r="G25" s="26" t="n">
        <f aca="false">F25*C25</f>
        <v>9680</v>
      </c>
      <c r="H25" s="24" t="n">
        <f aca="false">MIN(ROUNDDOWN('CMES4 v2 ticket'!$C$9*0.005/(B25*5+2*'CMES4 v2 ticket'!$G$11),0),ROUNDDOWN('CMES4 v2 ticket'!$C$9/'CMES4 v2 ticket'!$I$7,0))</f>
        <v>77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2026-10-08T18:06:03Z</dcterms:created>
  <dc:creator>openpyxl</dc:creator>
  <dc:description/>
  <dc:language>en-US</dc:language>
  <cp:lastModifiedBy/>
  <dcterms:modified xsi:type="dcterms:W3CDTF">2026-10-08T18:06:03Z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